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季度实际值" sheetId="1" state="visible" r:id="rId1"/>
    <sheet name="年度前瞻" sheetId="2" state="visible" r:id="rId2"/>
    <sheet name="图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i val="1"/>
      <color rgb="006B7280"/>
      <sz val="9"/>
    </font>
    <font>
      <name val="Arial"/>
      <color rgb="00000000"/>
      <sz val="9.5"/>
    </font>
    <font>
      <name val="Arial"/>
      <i val="1"/>
      <color rgb="006B7280"/>
      <sz val="9.5"/>
    </font>
    <font>
      <name val="Arial"/>
      <b val="1"/>
      <i val="1"/>
      <color rgb="00374151"/>
      <sz val="9.5"/>
    </font>
  </fonts>
  <fills count="7">
    <fill>
      <patternFill/>
    </fill>
    <fill>
      <patternFill patternType="gray125"/>
    </fill>
    <fill>
      <patternFill patternType="solid">
        <fgColor rgb="001F2937"/>
        <bgColor rgb="001F2937"/>
      </patternFill>
    </fill>
    <fill>
      <patternFill patternType="solid">
        <fgColor rgb="00E5E7EB"/>
        <bgColor rgb="00E5E7EB"/>
      </patternFill>
    </fill>
    <fill>
      <patternFill patternType="solid">
        <fgColor rgb="00DCEAFB"/>
        <bgColor rgb="00DCEAFB"/>
      </patternFill>
    </fill>
    <fill>
      <patternFill patternType="solid">
        <fgColor rgb="00FDE9D9"/>
        <bgColor rgb="00FDE9D9"/>
      </patternFill>
    </fill>
    <fill>
      <patternFill patternType="solid">
        <fgColor rgb="00F3F4F6"/>
        <bgColor rgb="00F3F4F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/>
    </xf>
    <xf numFmtId="164" fontId="2" fillId="0" borderId="1" pivotButton="0" quotePrefix="0" xfId="0"/>
    <xf numFmtId="164" fontId="3" fillId="0" borderId="1" pivotButton="0" quotePrefix="0" xfId="0"/>
    <xf numFmtId="0" fontId="4" fillId="0" borderId="0" pivotButton="0" quotePrefix="0" xfId="0"/>
    <xf numFmtId="0" fontId="5" fillId="3" borderId="1" applyAlignment="1" pivotButton="0" quotePrefix="0" xfId="0">
      <alignment vertical="top"/>
    </xf>
    <xf numFmtId="0" fontId="5" fillId="3" borderId="1" applyAlignment="1" pivotButton="0" quotePrefix="0" xfId="0">
      <alignment vertical="top" wrapText="1"/>
    </xf>
    <xf numFmtId="164" fontId="5" fillId="3" borderId="1" applyAlignment="1" pivotButton="0" quotePrefix="0" xfId="0">
      <alignment horizontal="center" vertical="top"/>
    </xf>
    <xf numFmtId="0" fontId="5" fillId="4" borderId="1" applyAlignment="1" pivotButton="0" quotePrefix="0" xfId="0">
      <alignment vertical="top"/>
    </xf>
    <xf numFmtId="0" fontId="5" fillId="4" borderId="1" applyAlignment="1" pivotButton="0" quotePrefix="0" xfId="0">
      <alignment vertical="top" wrapText="1"/>
    </xf>
    <xf numFmtId="164" fontId="5" fillId="4" borderId="1" applyAlignment="1" pivotButton="0" quotePrefix="0" xfId="0">
      <alignment horizontal="center" vertical="top"/>
    </xf>
    <xf numFmtId="0" fontId="5" fillId="5" borderId="1" applyAlignment="1" pivotButton="0" quotePrefix="0" xfId="0">
      <alignment vertical="top"/>
    </xf>
    <xf numFmtId="0" fontId="5" fillId="5" borderId="1" applyAlignment="1" pivotButton="0" quotePrefix="0" xfId="0">
      <alignment vertical="top" wrapText="1"/>
    </xf>
    <xf numFmtId="164" fontId="5" fillId="5" borderId="1" applyAlignment="1" pivotButton="0" quotePrefix="0" xfId="0">
      <alignment horizontal="center" vertical="top"/>
    </xf>
    <xf numFmtId="0" fontId="6" fillId="6" borderId="1" applyAlignment="1" pivotButton="0" quotePrefix="0" xfId="0">
      <alignment vertical="top"/>
    </xf>
    <xf numFmtId="0" fontId="6" fillId="6" borderId="1" applyAlignment="1" pivotButton="0" quotePrefix="0" xfId="0">
      <alignment vertical="top" wrapText="1"/>
    </xf>
    <xf numFmtId="164" fontId="6" fillId="6" borderId="1" applyAlignment="1" pivotButton="0" quotePrefix="0" xfId="0">
      <alignment horizontal="center" vertical="top"/>
    </xf>
    <xf numFmtId="0" fontId="7" fillId="0" borderId="0" pivotButton="0" quotePrefix="0" xfId="0"/>
    <xf numFmtId="0" fontId="3" fillId="0" borderId="1" pivotButton="0" quotePrefix="0" xfId="0"/>
    <xf numFmtId="164" fontId="2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五大厂商资本开支季度实际值，2015Q1–2026Q2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'季度实际值'!B1</f>
            </strRef>
          </tx>
          <spPr>
            <a:solidFill>
              <a:srgbClr val="2A78D6"/>
            </a:solidFill>
            <a:ln>
              <a:prstDash val="solid"/>
            </a:ln>
          </spPr>
          <cat>
            <numRef>
              <f>'季度实际值'!$A$2:$A$47</f>
            </numRef>
          </cat>
          <val>
            <numRef>
              <f>'季度实际值'!$B$2:$B$47</f>
            </numRef>
          </val>
        </ser>
        <ser>
          <idx val="1"/>
          <order val="1"/>
          <tx>
            <strRef>
              <f>'季度实际值'!C1</f>
            </strRef>
          </tx>
          <spPr>
            <a:solidFill>
              <a:srgbClr val="EB6834"/>
            </a:solidFill>
            <a:ln>
              <a:prstDash val="solid"/>
            </a:ln>
          </spPr>
          <cat>
            <numRef>
              <f>'季度实际值'!$A$2:$A$47</f>
            </numRef>
          </cat>
          <val>
            <numRef>
              <f>'季度实际值'!$C$2:$C$47</f>
            </numRef>
          </val>
        </ser>
        <ser>
          <idx val="2"/>
          <order val="2"/>
          <tx>
            <strRef>
              <f>'季度实际值'!D1</f>
            </strRef>
          </tx>
          <spPr>
            <a:solidFill>
              <a:srgbClr val="1BAF7A"/>
            </a:solidFill>
            <a:ln>
              <a:prstDash val="solid"/>
            </a:ln>
          </spPr>
          <cat>
            <numRef>
              <f>'季度实际值'!$A$2:$A$47</f>
            </numRef>
          </cat>
          <val>
            <numRef>
              <f>'季度实际值'!$D$2:$D$47</f>
            </numRef>
          </val>
        </ser>
        <ser>
          <idx val="3"/>
          <order val="3"/>
          <tx>
            <strRef>
              <f>'季度实际值'!E1</f>
            </strRef>
          </tx>
          <spPr>
            <a:solidFill>
              <a:srgbClr val="EDA100"/>
            </a:solidFill>
            <a:ln>
              <a:prstDash val="solid"/>
            </a:ln>
          </spPr>
          <cat>
            <numRef>
              <f>'季度实际值'!$A$2:$A$47</f>
            </numRef>
          </cat>
          <val>
            <numRef>
              <f>'季度实际值'!$E$2:$E$47</f>
            </numRef>
          </val>
        </ser>
        <ser>
          <idx val="4"/>
          <order val="4"/>
          <tx>
            <strRef>
              <f>'季度实际值'!F1</f>
            </strRef>
          </tx>
          <spPr>
            <a:solidFill>
              <a:srgbClr val="E87BA4"/>
            </a:solidFill>
            <a:ln>
              <a:prstDash val="solid"/>
            </a:ln>
          </spPr>
          <cat>
            <numRef>
              <f>'季度实际值'!$A$2:$A$47</f>
            </numRef>
          </cat>
          <val>
            <numRef>
              <f>'季度实际值'!$F$2:$F$47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季度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资本开支 ($B)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五大厂商资本开支前瞻：最近实际 → 官方指引 → 分析师估计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'年度前瞻'!B34</f>
            </strRef>
          </tx>
          <spPr>
            <a:solidFill>
              <a:srgbClr val="9CA3AF"/>
            </a:solidFill>
            <a:ln>
              <a:prstDash val="solid"/>
            </a:ln>
          </spPr>
          <cat>
            <numRef>
              <f>'年度前瞻'!$A$35:$A$39</f>
            </numRef>
          </cat>
          <val>
            <numRef>
              <f>'年度前瞻'!$B$35:$B$39</f>
            </numRef>
          </val>
        </ser>
        <ser>
          <idx val="1"/>
          <order val="1"/>
          <tx>
            <strRef>
              <f>'年度前瞻'!C34</f>
            </strRef>
          </tx>
          <spPr>
            <a:solidFill>
              <a:srgbClr val="2A78D6"/>
            </a:solidFill>
            <a:ln>
              <a:prstDash val="solid"/>
            </a:ln>
          </spPr>
          <cat>
            <numRef>
              <f>'年度前瞻'!$A$35:$A$39</f>
            </numRef>
          </cat>
          <val>
            <numRef>
              <f>'年度前瞻'!$C$35:$C$39</f>
            </numRef>
          </val>
        </ser>
        <ser>
          <idx val="2"/>
          <order val="2"/>
          <tx>
            <strRef>
              <f>'年度前瞻'!D34</f>
            </strRef>
          </tx>
          <spPr>
            <a:solidFill>
              <a:srgbClr val="EB6834"/>
            </a:solidFill>
            <a:ln>
              <a:prstDash val="solid"/>
            </a:ln>
          </spPr>
          <cat>
            <numRef>
              <f>'年度前瞻'!$A$35:$A$39</f>
            </numRef>
          </cat>
          <val>
            <numRef>
              <f>'年度前瞻'!$D$35:$D$39</f>
            </numRef>
          </val>
        </ser>
        <ser>
          <idx val="3"/>
          <order val="3"/>
          <tx>
            <strRef>
              <f>'年度前瞻'!E34</f>
            </strRef>
          </tx>
          <spPr>
            <a:solidFill>
              <a:srgbClr val="1BAF7A"/>
            </a:solidFill>
            <a:ln>
              <a:prstDash val="solid"/>
            </a:ln>
          </spPr>
          <cat>
            <numRef>
              <f>'年度前瞻'!$A$35:$A$39</f>
            </numRef>
          </cat>
          <val>
            <numRef>
              <f>'年度前瞻'!$E$35:$E$39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公司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资本开支 ($B)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52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23</row>
      <rowOff>0</rowOff>
    </from>
    <ext cx="792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</cols>
  <sheetData>
    <row r="1" ht="30" customHeight="1">
      <c r="A1" s="1" t="inlineStr">
        <is>
          <t>季度</t>
        </is>
      </c>
      <c r="B1" s="1" t="inlineStr">
        <is>
          <t>MSFT ($B)</t>
        </is>
      </c>
      <c r="C1" s="1" t="inlineStr">
        <is>
          <t>AMZN ($B)</t>
        </is>
      </c>
      <c r="D1" s="1" t="inlineStr">
        <is>
          <t>GOOGL ($B)</t>
        </is>
      </c>
      <c r="E1" s="1" t="inlineStr">
        <is>
          <t>META ($B)</t>
        </is>
      </c>
      <c r="F1" s="1" t="inlineStr">
        <is>
          <t>ORCL ($B)</t>
        </is>
      </c>
      <c r="G1" s="1" t="inlineStr">
        <is>
          <t>五家合计 ($B)</t>
        </is>
      </c>
    </row>
    <row r="2">
      <c r="A2" s="2" t="inlineStr">
        <is>
          <t>2015Q1</t>
        </is>
      </c>
      <c r="B2" s="3" t="n"/>
      <c r="C2" s="3" t="n">
        <v>0.871</v>
      </c>
      <c r="D2" s="3" t="n">
        <v>2.927</v>
      </c>
      <c r="E2" s="3" t="n">
        <v>0.502</v>
      </c>
      <c r="F2" s="3" t="n"/>
      <c r="G2" s="4">
        <f>SUM(B2:F2)</f>
        <v/>
      </c>
    </row>
    <row r="3">
      <c r="A3" s="2" t="inlineStr">
        <is>
          <t>2015Q2</t>
        </is>
      </c>
      <c r="B3" s="3" t="n"/>
      <c r="C3" s="3" t="n">
        <v>1.213</v>
      </c>
      <c r="D3" s="3" t="n">
        <v>2.515</v>
      </c>
      <c r="E3" s="3" t="n">
        <v>0.549</v>
      </c>
      <c r="F3" s="3" t="n"/>
      <c r="G3" s="4">
        <f>SUM(B3:F3)</f>
        <v/>
      </c>
    </row>
    <row r="4">
      <c r="A4" s="2" t="inlineStr">
        <is>
          <t>2015Q3</t>
        </is>
      </c>
      <c r="B4" s="3" t="n"/>
      <c r="C4" s="3" t="n">
        <v>1.195</v>
      </c>
      <c r="D4" s="3" t="n">
        <v>2.383</v>
      </c>
      <c r="E4" s="3" t="n">
        <v>0.78</v>
      </c>
      <c r="F4" s="3" t="n"/>
      <c r="G4" s="4">
        <f>SUM(B4:F4)</f>
        <v/>
      </c>
    </row>
    <row r="5">
      <c r="A5" s="2" t="inlineStr">
        <is>
          <t>2015Q4</t>
        </is>
      </c>
      <c r="B5" s="3" t="n"/>
      <c r="C5" s="3" t="n">
        <v>1.309</v>
      </c>
      <c r="D5" s="3" t="n">
        <v>0.035</v>
      </c>
      <c r="E5" s="3" t="n">
        <v>0.6919999999999999</v>
      </c>
      <c r="F5" s="3" t="n"/>
      <c r="G5" s="4">
        <f>SUM(B5:F5)</f>
        <v/>
      </c>
    </row>
    <row r="6">
      <c r="A6" s="2" t="inlineStr">
        <is>
          <t>2016Q1</t>
        </is>
      </c>
      <c r="B6" s="3" t="n"/>
      <c r="C6" s="3" t="n">
        <v>1.179</v>
      </c>
      <c r="D6" s="3" t="n">
        <v>0.016</v>
      </c>
      <c r="E6" s="3" t="n">
        <v>1.132</v>
      </c>
      <c r="F6" s="3" t="n"/>
      <c r="G6" s="4">
        <f>SUM(B6:F6)</f>
        <v/>
      </c>
    </row>
    <row r="7">
      <c r="A7" s="2" t="inlineStr">
        <is>
          <t>2016Q2</t>
        </is>
      </c>
      <c r="B7" s="3" t="n">
        <v>2.655</v>
      </c>
      <c r="C7" s="3" t="n">
        <v>1.711</v>
      </c>
      <c r="D7" s="3" t="n">
        <v>0.013</v>
      </c>
      <c r="E7" s="3" t="n">
        <v>0.995</v>
      </c>
      <c r="F7" s="3" t="n">
        <v>0.18</v>
      </c>
      <c r="G7" s="4">
        <f>SUM(B7:F7)</f>
        <v/>
      </c>
    </row>
    <row r="8">
      <c r="A8" s="2" t="inlineStr">
        <is>
          <t>2016Q3</t>
        </is>
      </c>
      <c r="B8" s="3" t="n"/>
      <c r="C8" s="3" t="n">
        <v>1.841</v>
      </c>
      <c r="D8" s="3" t="n">
        <v>2.554</v>
      </c>
      <c r="E8" s="3" t="n">
        <v>1.095</v>
      </c>
      <c r="F8" s="3" t="n"/>
      <c r="G8" s="4">
        <f>SUM(B8:F8)</f>
        <v/>
      </c>
    </row>
    <row r="9">
      <c r="A9" s="2" t="inlineStr">
        <is>
          <t>2016Q4</t>
        </is>
      </c>
      <c r="B9" s="3" t="n">
        <v>1.988</v>
      </c>
      <c r="C9" s="3" t="n">
        <v>2.006</v>
      </c>
      <c r="D9" s="3" t="n">
        <v>3.078</v>
      </c>
      <c r="E9" s="3" t="n">
        <v>1.269</v>
      </c>
      <c r="F9" s="3" t="n"/>
      <c r="G9" s="4">
        <f>SUM(B9:F9)</f>
        <v/>
      </c>
    </row>
    <row r="10">
      <c r="A10" s="2" t="inlineStr">
        <is>
          <t>2017Q1</t>
        </is>
      </c>
      <c r="B10" s="3" t="n">
        <v>1.695</v>
      </c>
      <c r="C10" s="3" t="n">
        <v>1.861</v>
      </c>
      <c r="D10" s="3" t="n">
        <v>2.508</v>
      </c>
      <c r="E10" s="3" t="n">
        <v>1.271</v>
      </c>
      <c r="F10" s="3" t="n"/>
      <c r="G10" s="4">
        <f>SUM(B10:F10)</f>
        <v/>
      </c>
    </row>
    <row r="11">
      <c r="A11" s="2" t="inlineStr">
        <is>
          <t>2017Q2</t>
        </is>
      </c>
      <c r="B11" s="3" t="n">
        <v>2.283</v>
      </c>
      <c r="C11" s="3" t="n"/>
      <c r="D11" s="3" t="n">
        <v>2.831</v>
      </c>
      <c r="E11" s="3" t="n">
        <v>1.444</v>
      </c>
      <c r="F11" s="3" t="n">
        <v>0.525</v>
      </c>
      <c r="G11" s="4">
        <f>SUM(B11:F11)</f>
        <v/>
      </c>
    </row>
    <row r="12">
      <c r="A12" s="2" t="inlineStr">
        <is>
          <t>2017Q3</t>
        </is>
      </c>
      <c r="B12" s="3" t="n">
        <v>2.132</v>
      </c>
      <c r="C12" s="3" t="n">
        <v>3.074</v>
      </c>
      <c r="D12" s="3" t="n">
        <v>3.538</v>
      </c>
      <c r="E12" s="3" t="n">
        <v>1.755</v>
      </c>
      <c r="F12" s="3" t="n">
        <v>0.473</v>
      </c>
      <c r="G12" s="4">
        <f>SUM(B12:F12)</f>
        <v/>
      </c>
    </row>
    <row r="13">
      <c r="A13" s="2" t="inlineStr">
        <is>
          <t>2017Q4</t>
        </is>
      </c>
      <c r="B13" s="3" t="n">
        <v>2.586</v>
      </c>
      <c r="C13" s="3" t="n">
        <v>3.619</v>
      </c>
      <c r="D13" s="3" t="n">
        <v>4.307</v>
      </c>
      <c r="E13" s="3" t="n">
        <v>2.263</v>
      </c>
      <c r="F13" s="3" t="n">
        <v>0.599</v>
      </c>
      <c r="G13" s="4">
        <f>SUM(B13:F13)</f>
        <v/>
      </c>
    </row>
    <row r="14">
      <c r="A14" s="2" t="inlineStr">
        <is>
          <t>2018Q1</t>
        </is>
      </c>
      <c r="B14" s="3" t="n">
        <v>2.934</v>
      </c>
      <c r="C14" s="3" t="n">
        <v>3.098</v>
      </c>
      <c r="D14" s="3" t="n">
        <v>7.299</v>
      </c>
      <c r="E14" s="3" t="n">
        <v>2.812</v>
      </c>
      <c r="F14" s="3" t="n">
        <v>0.286</v>
      </c>
      <c r="G14" s="4">
        <f>SUM(B14:F14)</f>
        <v/>
      </c>
    </row>
    <row r="15">
      <c r="A15" s="2" t="inlineStr">
        <is>
          <t>2018Q2</t>
        </is>
      </c>
      <c r="B15" s="3" t="n">
        <v>3.98</v>
      </c>
      <c r="C15" s="3" t="n">
        <v>3.243</v>
      </c>
      <c r="D15" s="3" t="n">
        <v>5.477</v>
      </c>
      <c r="E15" s="3" t="n">
        <v>3.46</v>
      </c>
      <c r="F15" s="3" t="n">
        <v>0.378</v>
      </c>
      <c r="G15" s="4">
        <f>SUM(B15:F15)</f>
        <v/>
      </c>
    </row>
    <row r="16">
      <c r="A16" s="2" t="inlineStr">
        <is>
          <t>2018Q3</t>
        </is>
      </c>
      <c r="B16" s="3" t="n">
        <v>3.602</v>
      </c>
      <c r="C16" s="3" t="n">
        <v>3.352</v>
      </c>
      <c r="D16" s="3" t="n">
        <v>5.282</v>
      </c>
      <c r="E16" s="3" t="n">
        <v>3.342</v>
      </c>
      <c r="F16" s="3" t="n">
        <v>0.383</v>
      </c>
      <c r="G16" s="4">
        <f>SUM(B16:F16)</f>
        <v/>
      </c>
    </row>
    <row r="17">
      <c r="A17" s="2" t="inlineStr">
        <is>
          <t>2018Q4</t>
        </is>
      </c>
      <c r="B17" s="3" t="n">
        <v>3.707</v>
      </c>
      <c r="C17" s="3" t="n">
        <v>3.734</v>
      </c>
      <c r="D17" s="3" t="n">
        <v>7.081</v>
      </c>
      <c r="E17" s="3" t="n">
        <v>4.301</v>
      </c>
      <c r="F17" s="3" t="n">
        <v>0.421</v>
      </c>
      <c r="G17" s="4">
        <f>SUM(B17:F17)</f>
        <v/>
      </c>
    </row>
    <row r="18">
      <c r="A18" s="2" t="inlineStr">
        <is>
          <t>2019Q1</t>
        </is>
      </c>
      <c r="B18" s="3" t="n">
        <v>2.565</v>
      </c>
      <c r="C18" s="3" t="n">
        <v>3.29</v>
      </c>
      <c r="D18" s="3" t="n">
        <v>4.638</v>
      </c>
      <c r="E18" s="3" t="n">
        <v>3.837</v>
      </c>
      <c r="F18" s="3" t="n">
        <v>0.443</v>
      </c>
      <c r="G18" s="4">
        <f>SUM(B18:F18)</f>
        <v/>
      </c>
    </row>
    <row r="19">
      <c r="A19" s="2" t="inlineStr">
        <is>
          <t>2019Q2</t>
        </is>
      </c>
      <c r="B19" s="3" t="n">
        <v>4.051</v>
      </c>
      <c r="C19" s="3" t="n">
        <v>3.562</v>
      </c>
      <c r="D19" s="3" t="n">
        <v>6.126</v>
      </c>
      <c r="E19" s="3" t="n">
        <v>3.633</v>
      </c>
      <c r="F19" s="3" t="n">
        <v>0.413</v>
      </c>
      <c r="G19" s="4">
        <f>SUM(B19:F19)</f>
        <v/>
      </c>
    </row>
    <row r="20">
      <c r="A20" s="2" t="inlineStr">
        <is>
          <t>2019Q3</t>
        </is>
      </c>
      <c r="B20" s="3" t="n">
        <v>3.385</v>
      </c>
      <c r="C20" s="3" t="n">
        <v>4.697</v>
      </c>
      <c r="D20" s="3" t="n">
        <v>6.732</v>
      </c>
      <c r="E20" s="3" t="n">
        <v>3.532</v>
      </c>
      <c r="F20" s="3" t="n">
        <v>0.386</v>
      </c>
      <c r="G20" s="4">
        <f>SUM(B20:F20)</f>
        <v/>
      </c>
    </row>
    <row r="21">
      <c r="A21" s="2" t="inlineStr">
        <is>
          <t>2019Q4</t>
        </is>
      </c>
      <c r="B21" s="3" t="n">
        <v>3.545</v>
      </c>
      <c r="C21" s="3" t="n">
        <v>5.312</v>
      </c>
      <c r="D21" s="3" t="n">
        <v>6.052</v>
      </c>
      <c r="E21" s="3" t="n">
        <v>4.1</v>
      </c>
      <c r="F21" s="3" t="n">
        <v>0.349</v>
      </c>
      <c r="G21" s="4">
        <f>SUM(B21:F21)</f>
        <v/>
      </c>
    </row>
    <row r="22">
      <c r="A22" s="2" t="inlineStr">
        <is>
          <t>2020Q1</t>
        </is>
      </c>
      <c r="B22" s="3" t="n">
        <v>3.767</v>
      </c>
      <c r="C22" s="3" t="n">
        <v>6.795</v>
      </c>
      <c r="D22" s="3" t="n">
        <v>6.005</v>
      </c>
      <c r="E22" s="3" t="n">
        <v>3.558</v>
      </c>
      <c r="F22" s="3" t="n">
        <v>0.396</v>
      </c>
      <c r="G22" s="4">
        <f>SUM(B22:F22)</f>
        <v/>
      </c>
    </row>
    <row r="23">
      <c r="A23" s="2" t="inlineStr">
        <is>
          <t>2020Q2</t>
        </is>
      </c>
      <c r="B23" s="3" t="n">
        <v>4.744</v>
      </c>
      <c r="C23" s="3" t="n">
        <v>7.459</v>
      </c>
      <c r="D23" s="3" t="n">
        <v>5.391</v>
      </c>
      <c r="E23" s="3" t="n">
        <v>3.255</v>
      </c>
      <c r="F23" s="3" t="n">
        <v>0.433</v>
      </c>
      <c r="G23" s="4">
        <f>SUM(B23:F23)</f>
        <v/>
      </c>
    </row>
    <row r="24">
      <c r="A24" s="2" t="inlineStr">
        <is>
          <t>2020Q3</t>
        </is>
      </c>
      <c r="B24" s="3" t="n">
        <v>4.907</v>
      </c>
      <c r="C24" s="3" t="n">
        <v>11.063</v>
      </c>
      <c r="D24" s="3" t="n">
        <v>5.406</v>
      </c>
      <c r="E24" s="3" t="n">
        <v>3.689</v>
      </c>
      <c r="F24" s="3" t="n">
        <v>0.436</v>
      </c>
      <c r="G24" s="4">
        <f>SUM(B24:F24)</f>
        <v/>
      </c>
    </row>
    <row r="25">
      <c r="A25" s="2" t="inlineStr">
        <is>
          <t>2020Q4</t>
        </is>
      </c>
      <c r="B25" s="3" t="n">
        <v>4.174</v>
      </c>
      <c r="C25" s="3" t="n">
        <v>14.823</v>
      </c>
      <c r="D25" s="3" t="n">
        <v>5.479</v>
      </c>
      <c r="E25" s="3" t="n">
        <v>0.048</v>
      </c>
      <c r="F25" s="3" t="n">
        <v>0.5679999999999999</v>
      </c>
      <c r="G25" s="4">
        <f>SUM(B25:F25)</f>
        <v/>
      </c>
    </row>
    <row r="26">
      <c r="A26" s="2" t="inlineStr">
        <is>
          <t>2021Q1</t>
        </is>
      </c>
      <c r="B26" s="3" t="n">
        <v>5.089</v>
      </c>
      <c r="C26" s="3" t="n">
        <v>12.082</v>
      </c>
      <c r="D26" s="3" t="n">
        <v>5.942</v>
      </c>
      <c r="E26" s="3" t="n">
        <v>0.031</v>
      </c>
      <c r="F26" s="3" t="n">
        <v>0.414</v>
      </c>
      <c r="G26" s="4">
        <f>SUM(B26:F26)</f>
        <v/>
      </c>
    </row>
    <row r="27">
      <c r="A27" s="2" t="inlineStr">
        <is>
          <t>2021Q2</t>
        </is>
      </c>
      <c r="B27" s="3" t="n">
        <v>6.452</v>
      </c>
      <c r="C27" s="3" t="n">
        <v>14.288</v>
      </c>
      <c r="D27" s="3" t="n">
        <v>5.496</v>
      </c>
      <c r="E27" s="3" t="n">
        <v>0.06</v>
      </c>
      <c r="F27" s="3" t="n">
        <v>0.717</v>
      </c>
      <c r="G27" s="4">
        <f>SUM(B27:F27)</f>
        <v/>
      </c>
    </row>
    <row r="28">
      <c r="A28" s="2" t="inlineStr">
        <is>
          <t>2021Q3</t>
        </is>
      </c>
      <c r="B28" s="3" t="n">
        <v>5.81</v>
      </c>
      <c r="C28" s="3" t="n">
        <v>15.748</v>
      </c>
      <c r="D28" s="3" t="n">
        <v>6.819</v>
      </c>
      <c r="E28" s="3" t="n">
        <v>0.092</v>
      </c>
      <c r="F28" s="3" t="n">
        <v>1.062</v>
      </c>
      <c r="G28" s="4">
        <f>SUM(B28:F28)</f>
        <v/>
      </c>
    </row>
    <row r="29">
      <c r="A29" s="2" t="inlineStr">
        <is>
          <t>2021Q4</t>
        </is>
      </c>
      <c r="B29" s="3" t="n">
        <v>5.865</v>
      </c>
      <c r="C29" s="3" t="n">
        <v>18.935</v>
      </c>
      <c r="D29" s="3" t="n">
        <v>6.383</v>
      </c>
      <c r="E29" s="3" t="n">
        <v>0.123</v>
      </c>
      <c r="F29" s="3" t="n">
        <v>0.925</v>
      </c>
      <c r="G29" s="4">
        <f>SUM(B29:F29)</f>
        <v/>
      </c>
    </row>
    <row r="30">
      <c r="A30" s="2" t="inlineStr">
        <is>
          <t>2022Q1</t>
        </is>
      </c>
      <c r="B30" s="3" t="n">
        <v>5.34</v>
      </c>
      <c r="C30" s="3" t="n">
        <v>14.951</v>
      </c>
      <c r="D30" s="3" t="n">
        <v>9.786</v>
      </c>
      <c r="E30" s="3" t="n">
        <v>5.441</v>
      </c>
      <c r="F30" s="3" t="n">
        <v>1.101</v>
      </c>
      <c r="G30" s="4">
        <f>SUM(B30:F30)</f>
        <v/>
      </c>
    </row>
    <row r="31">
      <c r="A31" s="2" t="inlineStr">
        <is>
          <t>2022Q2</t>
        </is>
      </c>
      <c r="B31" s="3" t="n">
        <v>6.871</v>
      </c>
      <c r="C31" s="3" t="n">
        <v>15.724</v>
      </c>
      <c r="D31" s="3" t="n">
        <v>6.828</v>
      </c>
      <c r="E31" s="3" t="n">
        <v>7.572</v>
      </c>
      <c r="F31" s="3" t="n">
        <v>1.423</v>
      </c>
      <c r="G31" s="4">
        <f>SUM(B31:F31)</f>
        <v/>
      </c>
    </row>
    <row r="32">
      <c r="A32" s="2" t="inlineStr">
        <is>
          <t>2022Q3</t>
        </is>
      </c>
      <c r="B32" s="3" t="n">
        <v>6.283</v>
      </c>
      <c r="C32" s="3" t="n">
        <v>16.378</v>
      </c>
      <c r="D32" s="3" t="n">
        <v>7.276</v>
      </c>
      <c r="E32" s="3" t="n">
        <v>9.375</v>
      </c>
      <c r="F32" s="3" t="n">
        <v>1.719</v>
      </c>
      <c r="G32" s="4">
        <f>SUM(B32:F32)</f>
        <v/>
      </c>
    </row>
    <row r="33">
      <c r="A33" s="2" t="inlineStr">
        <is>
          <t>2022Q4</t>
        </is>
      </c>
      <c r="B33" s="3" t="n">
        <v>6.274</v>
      </c>
      <c r="C33" s="3" t="n">
        <v>16.592</v>
      </c>
      <c r="D33" s="3" t="n">
        <v>7.595</v>
      </c>
      <c r="E33" s="3" t="n"/>
      <c r="F33" s="3" t="n">
        <v>2.435</v>
      </c>
      <c r="G33" s="4">
        <f>SUM(B33:F33)</f>
        <v/>
      </c>
    </row>
    <row r="34">
      <c r="A34" s="2" t="inlineStr">
        <is>
          <t>2023Q1</t>
        </is>
      </c>
      <c r="B34" s="3" t="n">
        <v>6.607</v>
      </c>
      <c r="C34" s="3" t="n">
        <v>14.207</v>
      </c>
      <c r="D34" s="3" t="n">
        <v>6.289</v>
      </c>
      <c r="E34" s="3" t="n"/>
      <c r="F34" s="3" t="n">
        <v>2.628</v>
      </c>
      <c r="G34" s="4">
        <f>SUM(B34:F34)</f>
        <v/>
      </c>
    </row>
    <row r="35">
      <c r="A35" s="2" t="inlineStr">
        <is>
          <t>2023Q2</t>
        </is>
      </c>
      <c r="B35" s="3" t="n">
        <v>8.943</v>
      </c>
      <c r="C35" s="3" t="n">
        <v>11.455</v>
      </c>
      <c r="D35" s="3" t="n">
        <v>6.888</v>
      </c>
      <c r="E35" s="3" t="n"/>
      <c r="F35" s="3" t="n">
        <v>1.913</v>
      </c>
      <c r="G35" s="4">
        <f>SUM(B35:F35)</f>
        <v/>
      </c>
    </row>
    <row r="36">
      <c r="A36" s="2" t="inlineStr">
        <is>
          <t>2023Q3</t>
        </is>
      </c>
      <c r="B36" s="3" t="n">
        <v>9.917</v>
      </c>
      <c r="C36" s="3" t="n">
        <v>12.479</v>
      </c>
      <c r="D36" s="3" t="n">
        <v>8.055</v>
      </c>
      <c r="E36" s="3" t="n"/>
      <c r="F36" s="3" t="n">
        <v>1.314</v>
      </c>
      <c r="G36" s="4">
        <f>SUM(B36:F36)</f>
        <v/>
      </c>
    </row>
    <row r="37">
      <c r="A37" s="2" t="inlineStr">
        <is>
          <t>2023Q4</t>
        </is>
      </c>
      <c r="B37" s="3" t="n">
        <v>9.734999999999999</v>
      </c>
      <c r="C37" s="3" t="n">
        <v>14.588</v>
      </c>
      <c r="D37" s="3" t="n">
        <v>11.019</v>
      </c>
      <c r="E37" s="3" t="n"/>
      <c r="F37" s="3" t="n">
        <v>1.08</v>
      </c>
      <c r="G37" s="4">
        <f>SUM(B37:F37)</f>
        <v/>
      </c>
    </row>
    <row r="38">
      <c r="A38" s="2" t="inlineStr">
        <is>
          <t>2024Q1</t>
        </is>
      </c>
      <c r="B38" s="3" t="n">
        <v>10.952</v>
      </c>
      <c r="C38" s="3" t="n">
        <v>14.925</v>
      </c>
      <c r="D38" s="3" t="n">
        <v>12.012</v>
      </c>
      <c r="E38" s="3" t="n">
        <v>6.4</v>
      </c>
      <c r="F38" s="3" t="n">
        <v>1.674</v>
      </c>
      <c r="G38" s="4">
        <f>SUM(B38:F38)</f>
        <v/>
      </c>
    </row>
    <row r="39">
      <c r="A39" s="2" t="inlineStr">
        <is>
          <t>2024Q2</t>
        </is>
      </c>
      <c r="B39" s="3" t="n">
        <v>13.873</v>
      </c>
      <c r="C39" s="3" t="n">
        <v>17.62</v>
      </c>
      <c r="D39" s="3" t="n">
        <v>13.186</v>
      </c>
      <c r="E39" s="3" t="n">
        <v>8.173</v>
      </c>
      <c r="F39" s="3" t="n">
        <v>2.798</v>
      </c>
      <c r="G39" s="4">
        <f>SUM(B39:F39)</f>
        <v/>
      </c>
    </row>
    <row r="40">
      <c r="A40" s="2" t="inlineStr">
        <is>
          <t>2024Q3</t>
        </is>
      </c>
      <c r="B40" s="3" t="n">
        <v>14.923</v>
      </c>
      <c r="C40" s="3" t="n">
        <v>22.62</v>
      </c>
      <c r="D40" s="3" t="n">
        <v>13.061</v>
      </c>
      <c r="E40" s="3" t="n">
        <v>8.257999999999999</v>
      </c>
      <c r="F40" s="3" t="n">
        <v>2.303</v>
      </c>
      <c r="G40" s="4">
        <f>SUM(B40:F40)</f>
        <v/>
      </c>
    </row>
    <row r="41">
      <c r="A41" s="2" t="inlineStr">
        <is>
          <t>2024Q4</t>
        </is>
      </c>
      <c r="B41" s="3" t="n">
        <v>15.804</v>
      </c>
      <c r="C41" s="3" t="n">
        <v>27.834</v>
      </c>
      <c r="D41" s="3" t="n">
        <v>14.276</v>
      </c>
      <c r="E41" s="3" t="n">
        <v>14.425</v>
      </c>
      <c r="F41" s="3" t="n">
        <v>3.97</v>
      </c>
      <c r="G41" s="4">
        <f>SUM(B41:F41)</f>
        <v/>
      </c>
    </row>
    <row r="42">
      <c r="A42" s="2" t="inlineStr">
        <is>
          <t>2025Q1</t>
        </is>
      </c>
      <c r="B42" s="3" t="n">
        <v>16.745</v>
      </c>
      <c r="C42" s="3" t="n">
        <v>25.019</v>
      </c>
      <c r="D42" s="3" t="n">
        <v>17.197</v>
      </c>
      <c r="E42" s="3" t="n">
        <v>12.941</v>
      </c>
      <c r="F42" s="3" t="n">
        <v>5.862</v>
      </c>
      <c r="G42" s="4">
        <f>SUM(B42:F42)</f>
        <v/>
      </c>
    </row>
    <row r="43">
      <c r="A43" s="2" t="inlineStr">
        <is>
          <t>2025Q2</t>
        </is>
      </c>
      <c r="B43" s="3" t="n">
        <v>17.079</v>
      </c>
      <c r="C43" s="3" t="n">
        <v>32.183</v>
      </c>
      <c r="D43" s="3" t="n">
        <v>22.446</v>
      </c>
      <c r="E43" s="3" t="n">
        <v>16.538</v>
      </c>
      <c r="F43" s="3" t="n">
        <v>9.08</v>
      </c>
      <c r="G43" s="4">
        <f>SUM(B43:F43)</f>
        <v/>
      </c>
    </row>
    <row r="44">
      <c r="A44" s="2" t="inlineStr">
        <is>
          <t>2025Q3</t>
        </is>
      </c>
      <c r="B44" s="3" t="n">
        <v>19.394</v>
      </c>
      <c r="C44" s="3" t="n">
        <v>35.095</v>
      </c>
      <c r="D44" s="3" t="n">
        <v>23.953</v>
      </c>
      <c r="E44" s="3" t="n">
        <v>18.829</v>
      </c>
      <c r="F44" s="3" t="n">
        <v>8.502000000000001</v>
      </c>
      <c r="G44" s="4">
        <f>SUM(B44:F44)</f>
        <v/>
      </c>
    </row>
    <row r="45">
      <c r="A45" s="2" t="inlineStr">
        <is>
          <t>2025Q4</t>
        </is>
      </c>
      <c r="B45" s="3" t="n">
        <v>29.876</v>
      </c>
      <c r="C45" s="3" t="n">
        <v>39.522</v>
      </c>
      <c r="D45" s="3" t="n">
        <v>27.851</v>
      </c>
      <c r="E45" s="3" t="n">
        <v>21.383</v>
      </c>
      <c r="F45" s="3" t="n">
        <v>12.033</v>
      </c>
      <c r="G45" s="4">
        <f>SUM(B45:F45)</f>
        <v/>
      </c>
    </row>
    <row r="46">
      <c r="A46" s="2" t="inlineStr">
        <is>
          <t>2026Q1</t>
        </is>
      </c>
      <c r="B46" s="3" t="n">
        <v>30.876</v>
      </c>
      <c r="C46" s="3" t="n">
        <v>44.203</v>
      </c>
      <c r="D46" s="3" t="n">
        <v>35.674</v>
      </c>
      <c r="E46" s="3" t="n">
        <v>18.997</v>
      </c>
      <c r="F46" s="3" t="n">
        <v>18.635</v>
      </c>
      <c r="G46" s="4">
        <f>SUM(B46:F46)</f>
        <v/>
      </c>
    </row>
    <row r="47">
      <c r="A47" s="2" t="inlineStr">
        <is>
          <t>2026Q2</t>
        </is>
      </c>
      <c r="B47" s="3" t="n">
        <v>35.802</v>
      </c>
      <c r="C47" s="3" t="n">
        <v>54.208</v>
      </c>
      <c r="D47" s="3" t="n">
        <v>44.924</v>
      </c>
      <c r="E47" s="3" t="n">
        <v>30.116</v>
      </c>
      <c r="F47" s="3" t="n">
        <v>16.493</v>
      </c>
      <c r="G47" s="4">
        <f>SUM(B47:F47)</f>
        <v/>
      </c>
    </row>
    <row r="50">
      <c r="A50" s="5" t="inlineStr">
        <is>
          <t>数据源：SEC EDGAR XBRL companyfacts API，标签PaymentsToAcquirePropertyPlantAndEquipment(AMZN 2017年后改用PaymentsToAcquireProductiveAssets)</t>
        </is>
      </c>
    </row>
    <row r="51">
      <c r="A51" s="5" t="inlineStr">
        <is>
          <t>https://data.sec.gov/api/xbrl/companyfacts/CIK{cik}.json　访问日期：2026-08-16</t>
        </is>
      </c>
    </row>
    <row r="52">
      <c r="A52" s="5" t="inlineStr">
        <is>
          <t>覆盖：按财季结束日期换算为日历季度；MSFT财年6月结束、ORCL财年5月结束，其余三家为自然年，均已对齐为日历季</t>
        </is>
      </c>
    </row>
    <row r="53">
      <c r="A53" s="5" t="inlineStr">
        <is>
          <t>ORCL数据从2016Q2起(更早期财报未披露可比口径的capex)，故2015Q1-2016Q1的ORCL列为空，不是缺失数据</t>
        </is>
      </c>
    </row>
    <row r="54">
      <c r="A54" s="5" t="inlineStr">
        <is>
          <t>已用各公司10-K年度合计交叉验证：如MSFT FY2025四个季度加总=$645.51亿，与10-K年度数字完全一致</t>
        </is>
      </c>
    </row>
  </sheetData>
  <mergeCells count="5">
    <mergeCell ref="A53:G53"/>
    <mergeCell ref="A50:G50"/>
    <mergeCell ref="A54:G54"/>
    <mergeCell ref="A52:G52"/>
    <mergeCell ref="A51:G5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4" customWidth="1" min="2" max="2"/>
    <col width="18" customWidth="1" min="3" max="3"/>
    <col width="22" customWidth="1" min="4" max="4"/>
    <col width="18" customWidth="1" min="5" max="5"/>
    <col width="10" customWidth="1" min="6" max="6"/>
    <col width="10" customWidth="1" min="7" max="7"/>
    <col width="12" customWidth="1" min="8" max="8"/>
    <col width="34" customWidth="1" min="9" max="9"/>
    <col width="10" customWidth="1" min="10" max="10"/>
    <col width="60" customWidth="1" min="11" max="11"/>
  </cols>
  <sheetData>
    <row r="1" ht="30" customHeight="1">
      <c r="A1" s="1" t="inlineStr">
        <is>
          <t>公司</t>
        </is>
      </c>
      <c r="B1" s="1" t="inlineStr">
        <is>
          <t>期间</t>
        </is>
      </c>
      <c r="C1" s="1" t="inlineStr">
        <is>
          <t>类型</t>
        </is>
      </c>
      <c r="D1" s="1" t="inlineStr">
        <is>
          <t>口径说明</t>
        </is>
      </c>
      <c r="E1" s="1" t="inlineStr">
        <is>
          <t>下限($B)</t>
        </is>
      </c>
      <c r="F1" s="1" t="inlineStr">
        <is>
          <t>上限($B)</t>
        </is>
      </c>
      <c r="G1" s="1" t="inlineStr">
        <is>
          <t>点值($B)</t>
        </is>
      </c>
      <c r="H1" s="1" t="inlineStr">
        <is>
          <t>数据层级</t>
        </is>
      </c>
      <c r="I1" s="1" t="inlineStr">
        <is>
          <t>数据来源</t>
        </is>
      </c>
      <c r="J1" s="1" t="inlineStr">
        <is>
          <t>来源链接</t>
        </is>
      </c>
      <c r="K1" s="1" t="inlineStr">
        <is>
          <t>备注</t>
        </is>
      </c>
    </row>
    <row r="2" ht="42" customHeight="1">
      <c r="A2" s="6" t="inlineStr">
        <is>
          <t>MSFT</t>
        </is>
      </c>
      <c r="B2" s="6" t="inlineStr">
        <is>
          <t>2025</t>
        </is>
      </c>
      <c r="C2" s="6" t="inlineStr">
        <is>
          <t>实际值</t>
        </is>
      </c>
      <c r="D2" s="7" t="inlineStr">
        <is>
          <t>calendar_year_from_10Q_sum</t>
        </is>
      </c>
      <c r="E2" s="8" t="n"/>
      <c r="F2" s="8" t="n"/>
      <c r="G2" s="8" t="n">
        <v>83.09999999999999</v>
      </c>
      <c r="H2" s="6" t="inlineStr">
        <is>
          <t>actual</t>
        </is>
      </c>
      <c r="I2" s="7" t="inlineStr">
        <is>
          <t>SEC EDGAR XBRL(本项目F15主图)</t>
        </is>
      </c>
      <c r="J2" s="7" t="inlineStr"/>
      <c r="K2" s="7" t="inlineStr">
        <is>
          <t>日历年2025 Q1-Q4季度实际值求和</t>
        </is>
      </c>
    </row>
    <row r="3" ht="42" customHeight="1">
      <c r="A3" s="9" t="inlineStr">
        <is>
          <t>MSFT</t>
        </is>
      </c>
      <c r="B3" s="9" t="inlineStr">
        <is>
          <t>2026</t>
        </is>
      </c>
      <c r="C3" s="9" t="inlineStr">
        <is>
          <t>官方指引</t>
        </is>
      </c>
      <c r="D3" s="10" t="inlineStr">
        <is>
          <t>calendar_year</t>
        </is>
      </c>
      <c r="E3" s="11" t="n">
        <v>175</v>
      </c>
      <c r="F3" s="11" t="n">
        <v>175</v>
      </c>
      <c r="G3" s="11" t="n">
        <v>175</v>
      </c>
      <c r="H3" s="9" t="inlineStr">
        <is>
          <t>official</t>
        </is>
      </c>
      <c r="I3" s="10" t="inlineStr">
        <is>
          <t>CNBC/CFO Dive report on MSFT FY26Q4 earnings call</t>
        </is>
      </c>
      <c r="J3" s="10" t="inlineStr">
        <is>
          <t>https://www.cnbc.com/2026/07/29/microsoft-msft-q4-earnings-report-2026.html</t>
        </is>
      </c>
      <c r="K3" s="10" t="inlineStr">
        <is>
          <t>此前指引190,下修是因为租赁会计分类调整(更多数据中心租约从融资租赁改为经营租赁,经营租赁不计入capex),不是真实缩减支出</t>
        </is>
      </c>
    </row>
    <row r="4" ht="42" customHeight="1">
      <c r="A4" s="9" t="inlineStr">
        <is>
          <t>MSFT</t>
        </is>
      </c>
      <c r="B4" s="9" t="inlineStr">
        <is>
          <t>FY2027</t>
        </is>
      </c>
      <c r="C4" s="9" t="inlineStr">
        <is>
          <t>官方指引</t>
        </is>
      </c>
      <c r="D4" s="10" t="inlineStr">
        <is>
          <t>fiscal_year_jul2026_jun2027</t>
        </is>
      </c>
      <c r="E4" s="11" t="n">
        <v>175</v>
      </c>
      <c r="F4" s="11" t="n">
        <v>175</v>
      </c>
      <c r="G4" s="11" t="n">
        <v>175</v>
      </c>
      <c r="H4" s="9" t="inlineStr">
        <is>
          <t>official</t>
        </is>
      </c>
      <c r="I4" s="10" t="inlineStr">
        <is>
          <t>CNBC report, CFO Amy Hood guidance</t>
        </is>
      </c>
      <c r="J4" s="10" t="inlineStr">
        <is>
          <t>https://www.cnbc.com/2026/07/29/microsoft-msft-q4-earnings-report-2026.html</t>
        </is>
      </c>
      <c r="K4" s="10" t="inlineStr">
        <is>
          <t>CFO称FY2027 capex还会同比增长(基于'portfolio各处的需求信号'),但目前只给了约175B这一个数字,未给区间</t>
        </is>
      </c>
    </row>
    <row r="5" ht="42" customHeight="1">
      <c r="A5" s="12" t="inlineStr">
        <is>
          <t>MSFT</t>
        </is>
      </c>
      <c r="B5" s="12" t="inlineStr">
        <is>
          <t>2027E</t>
        </is>
      </c>
      <c r="C5" s="12" t="inlineStr">
        <is>
          <t>分析师估计</t>
        </is>
      </c>
      <c r="D5" s="13" t="inlineStr">
        <is>
          <t>calendar_year</t>
        </is>
      </c>
      <c r="E5" s="14" t="n">
        <v>207.6</v>
      </c>
      <c r="F5" s="14" t="n">
        <v>207.6</v>
      </c>
      <c r="G5" s="14" t="n">
        <v>207.6</v>
      </c>
      <c r="H5" s="12" t="inlineStr">
        <is>
          <t>analyst</t>
        </is>
      </c>
      <c r="I5" s="13" t="inlineStr">
        <is>
          <t>Morgan Stanley(经techtimes/eu.36kr等财经媒体转述)</t>
        </is>
      </c>
      <c r="J5" s="13" t="inlineStr">
        <is>
          <t>https://www.techtimes.com/articles/322868/20260803/street-got-cloud-capex-wrong-morgan-stanleys-14t-math-after-hyperscaler-earnings.htm</t>
        </is>
      </c>
      <c r="K5" s="13" t="inlineStr">
        <is>
          <t>单一机构(大摩)对五大云厂商用同一套方法论建模，同期还给出GOOGL/AMZN/META的2027估计，四家可互相比较；但原始研报本身无法直接访问，数字来自财经媒体转述，未做二次核实</t>
        </is>
      </c>
    </row>
    <row r="6" ht="42" customHeight="1">
      <c r="A6" s="15" t="inlineStr">
        <is>
          <t>MSFT</t>
        </is>
      </c>
      <c r="B6" s="15" t="inlineStr">
        <is>
          <t>FY2028</t>
        </is>
      </c>
      <c r="C6" s="15" t="inlineStr">
        <is>
          <t>无可靠数字</t>
        </is>
      </c>
      <c r="D6" s="16" t="inlineStr"/>
      <c r="E6" s="17" t="n"/>
      <c r="F6" s="17" t="n"/>
      <c r="G6" s="17" t="n"/>
      <c r="H6" s="15" t="inlineStr">
        <is>
          <t>none</t>
        </is>
      </c>
      <c r="I6" s="16" t="inlineStr"/>
      <c r="J6" s="16" t="inlineStr"/>
      <c r="K6" s="16" t="inlineStr">
        <is>
          <t>公司仅表态FY2028会继续增长；搜索未找到大摩或其他机构对MSFT单独的2028具体数字(只有五家合计$1.4万亿这个总量级数字)，不强行拆分编造</t>
        </is>
      </c>
    </row>
    <row r="7" ht="42" customHeight="1">
      <c r="A7" s="6" t="inlineStr">
        <is>
          <t>AMZN</t>
        </is>
      </c>
      <c r="B7" s="6" t="inlineStr">
        <is>
          <t>2025</t>
        </is>
      </c>
      <c r="C7" s="6" t="inlineStr">
        <is>
          <t>实际值</t>
        </is>
      </c>
      <c r="D7" s="7" t="inlineStr">
        <is>
          <t>calendar_year_from_10Q_sum</t>
        </is>
      </c>
      <c r="E7" s="8" t="n"/>
      <c r="F7" s="8" t="n"/>
      <c r="G7" s="8" t="n">
        <v>131.8</v>
      </c>
      <c r="H7" s="6" t="inlineStr">
        <is>
          <t>actual</t>
        </is>
      </c>
      <c r="I7" s="7" t="inlineStr">
        <is>
          <t>SEC EDGAR XBRL(本项目F15主图)</t>
        </is>
      </c>
      <c r="J7" s="7" t="inlineStr"/>
      <c r="K7" s="7" t="inlineStr">
        <is>
          <t>日历年2025 Q1-Q4季度实际值求和</t>
        </is>
      </c>
    </row>
    <row r="8" ht="42" customHeight="1">
      <c r="A8" s="9" t="inlineStr">
        <is>
          <t>AMZN</t>
        </is>
      </c>
      <c r="B8" s="9" t="inlineStr">
        <is>
          <t>2026</t>
        </is>
      </c>
      <c r="C8" s="9" t="inlineStr">
        <is>
          <t>官方指引</t>
        </is>
      </c>
      <c r="D8" s="10" t="inlineStr">
        <is>
          <t>calendar_year</t>
        </is>
      </c>
      <c r="E8" s="11" t="n">
        <v>220</v>
      </c>
      <c r="F8" s="11" t="n">
        <v>220</v>
      </c>
      <c r="G8" s="11" t="n">
        <v>220</v>
      </c>
      <c r="H8" s="9" t="inlineStr">
        <is>
          <t>official</t>
        </is>
      </c>
      <c r="I8" s="10" t="inlineStr">
        <is>
          <t>CNBC report on AMZN Q2 2026 earnings</t>
        </is>
      </c>
      <c r="J8" s="10" t="inlineStr">
        <is>
          <t>https://www.cnbc.com/2026/07/30/amazon-amzn-q2-earnings-report-2026.html</t>
        </is>
      </c>
      <c r="K8" s="10" t="inlineStr">
        <is>
          <t>此前指引约200B,上修理由是内存芯片成本上涨;年内已是一次大幅上修</t>
        </is>
      </c>
    </row>
    <row r="9" ht="42" customHeight="1">
      <c r="A9" s="12" t="inlineStr">
        <is>
          <t>AMZN</t>
        </is>
      </c>
      <c r="B9" s="12" t="inlineStr">
        <is>
          <t>2027E</t>
        </is>
      </c>
      <c r="C9" s="12" t="inlineStr">
        <is>
          <t>分析师估计</t>
        </is>
      </c>
      <c r="D9" s="13" t="inlineStr">
        <is>
          <t>calendar_year</t>
        </is>
      </c>
      <c r="E9" s="14" t="n">
        <v>308</v>
      </c>
      <c r="F9" s="14" t="n">
        <v>308</v>
      </c>
      <c r="G9" s="14" t="n">
        <v>308</v>
      </c>
      <c r="H9" s="12" t="inlineStr">
        <is>
          <t>analyst</t>
        </is>
      </c>
      <c r="I9" s="13" t="inlineStr">
        <is>
          <t>Morgan Stanley(经techtimes等财经媒体转述，8月已上修版本)</t>
        </is>
      </c>
      <c r="J9" s="13" t="inlineStr">
        <is>
          <t>https://www.techtimes.com/articles/322868/20260803/street-got-cloud-capex-wrong-morgan-stanleys-14t-math-after-hyperscaler-earnings.htm</t>
        </is>
      </c>
      <c r="K9" s="13" t="inlineStr">
        <is>
          <t>大摩本身在2026年内也把AMZN 2027估计上修了15%(此前约256.5B→308B)，分析师估计同样在持续走高，不是只有官方指引会被上修；官方口径仅表态'产能到2027年仍无法满足需求'，未给具体数字</t>
        </is>
      </c>
    </row>
    <row r="10" ht="42" customHeight="1">
      <c r="A10" s="12" t="inlineStr">
        <is>
          <t>AMZN</t>
        </is>
      </c>
      <c r="B10" s="12" t="inlineStr">
        <is>
          <t>2028E</t>
        </is>
      </c>
      <c r="C10" s="12" t="inlineStr">
        <is>
          <t>分析师估计</t>
        </is>
      </c>
      <c r="D10" s="13" t="inlineStr">
        <is>
          <t>calendar_year</t>
        </is>
      </c>
      <c r="E10" s="14" t="n">
        <v>318</v>
      </c>
      <c r="F10" s="14" t="n">
        <v>318</v>
      </c>
      <c r="G10" s="14" t="n">
        <v>318</v>
      </c>
      <c r="H10" s="12" t="inlineStr">
        <is>
          <t>analyst</t>
        </is>
      </c>
      <c r="I10" s="13" t="inlineStr">
        <is>
          <t>Morgan Stanley(经techtimes等财经媒体转述)</t>
        </is>
      </c>
      <c r="J10" s="13" t="inlineStr">
        <is>
          <t>https://www.techtimes.com/articles/322868/20260803/street-got-cloud-capex-wrong-morgan-stanleys-14t-math-after-hyperscaler-earnings.htm</t>
        </is>
      </c>
      <c r="K10" s="13" t="inlineStr">
        <is>
          <t>大摩2028估计较此前上修29%；这是目前找到的唯一一家披露AMZN 2028具体数字的机构，单一来源，需谨慎对待</t>
        </is>
      </c>
    </row>
    <row r="11" ht="42" customHeight="1">
      <c r="A11" s="6" t="inlineStr">
        <is>
          <t>GOOGL</t>
        </is>
      </c>
      <c r="B11" s="6" t="inlineStr">
        <is>
          <t>2025</t>
        </is>
      </c>
      <c r="C11" s="6" t="inlineStr">
        <is>
          <t>实际值</t>
        </is>
      </c>
      <c r="D11" s="7" t="inlineStr">
        <is>
          <t>calendar_year_from_10Q_sum</t>
        </is>
      </c>
      <c r="E11" s="8" t="n"/>
      <c r="F11" s="8" t="n"/>
      <c r="G11" s="8" t="n">
        <v>91.40000000000001</v>
      </c>
      <c r="H11" s="6" t="inlineStr">
        <is>
          <t>actual</t>
        </is>
      </c>
      <c r="I11" s="7" t="inlineStr">
        <is>
          <t>SEC EDGAR XBRL(本项目F15主图)</t>
        </is>
      </c>
      <c r="J11" s="7" t="inlineStr"/>
      <c r="K11" s="7" t="inlineStr">
        <is>
          <t>日历年2025 Q1-Q4季度实际值求和</t>
        </is>
      </c>
    </row>
    <row r="12" ht="42" customHeight="1">
      <c r="A12" s="9" t="inlineStr">
        <is>
          <t>GOOGL</t>
        </is>
      </c>
      <c r="B12" s="9" t="inlineStr">
        <is>
          <t>2026</t>
        </is>
      </c>
      <c r="C12" s="9" t="inlineStr">
        <is>
          <t>官方指引</t>
        </is>
      </c>
      <c r="D12" s="10" t="inlineStr">
        <is>
          <t>calendar_year</t>
        </is>
      </c>
      <c r="E12" s="11" t="n">
        <v>195</v>
      </c>
      <c r="F12" s="11" t="n">
        <v>205</v>
      </c>
      <c r="G12" s="11" t="n">
        <v>200</v>
      </c>
      <c r="H12" s="9" t="inlineStr">
        <is>
          <t>official</t>
        </is>
      </c>
      <c r="I12" s="10" t="inlineStr">
        <is>
          <t>CNBC/MLQ report on Alphabet Q2 2026 earnings</t>
        </is>
      </c>
      <c r="J12" s="10" t="inlineStr">
        <is>
          <t>https://www.cnbc.com/2026/07/22/google-earnings-q2-goog-live-updates.html</t>
        </is>
      </c>
      <c r="K12" s="10" t="inlineStr">
        <is>
          <t>2026年内第三次上修:年初175-185B→4月180-190B→7月195-205B,指引本身持续走高</t>
        </is>
      </c>
    </row>
    <row r="13" ht="42" customHeight="1">
      <c r="A13" s="12" t="inlineStr">
        <is>
          <t>GOOGL</t>
        </is>
      </c>
      <c r="B13" s="12" t="inlineStr">
        <is>
          <t>2027E</t>
        </is>
      </c>
      <c r="C13" s="12" t="inlineStr">
        <is>
          <t>分析师估计</t>
        </is>
      </c>
      <c r="D13" s="13" t="inlineStr">
        <is>
          <t>calendar_year</t>
        </is>
      </c>
      <c r="E13" s="14" t="n">
        <v>284.8</v>
      </c>
      <c r="F13" s="14" t="n">
        <v>284.8</v>
      </c>
      <c r="G13" s="14" t="n">
        <v>284.8</v>
      </c>
      <c r="H13" s="12" t="inlineStr">
        <is>
          <t>analyst</t>
        </is>
      </c>
      <c r="I13" s="13" t="inlineStr">
        <is>
          <t>Morgan Stanley(经techtimes等财经媒体转述)</t>
        </is>
      </c>
      <c r="J13" s="13" t="inlineStr">
        <is>
          <t>https://www.techtimes.com/articles/322868/20260803/street-got-cloud-capex-wrong-morgan-stanleys-14t-math-after-hyperscaler-earnings.htm</t>
        </is>
      </c>
      <c r="K13" s="13" t="inlineStr">
        <is>
          <t>公司官方未给2027具体金额,CFO仅表态'2027年capex会进一步走高';另有KuCoin报道引用较低的250B估计,两个第三方数字相差约14%,反映分析师之间也有分歧</t>
        </is>
      </c>
    </row>
    <row r="14" ht="42" customHeight="1">
      <c r="A14" s="15" t="inlineStr">
        <is>
          <t>GOOGL</t>
        </is>
      </c>
      <c r="B14" s="15" t="inlineStr">
        <is>
          <t>2028</t>
        </is>
      </c>
      <c r="C14" s="15" t="inlineStr">
        <is>
          <t>无可靠数字</t>
        </is>
      </c>
      <c r="D14" s="16" t="inlineStr"/>
      <c r="E14" s="17" t="n"/>
      <c r="F14" s="17" t="n"/>
      <c r="G14" s="17" t="n"/>
      <c r="H14" s="15" t="inlineStr">
        <is>
          <t>none</t>
        </is>
      </c>
      <c r="I14" s="16" t="inlineStr"/>
      <c r="J14" s="16" t="inlineStr"/>
      <c r="K14" s="16" t="inlineStr">
        <is>
          <t>未找到GOOGL单独的2028具体数字，只有五家合计$1.4万亿量级；Citi等提示2027/2028两年GOOGL/META/AMZN都可能自由现金流转负，但未给出2028 capex数字</t>
        </is>
      </c>
    </row>
    <row r="15" ht="42" customHeight="1">
      <c r="A15" s="6" t="inlineStr">
        <is>
          <t>META</t>
        </is>
      </c>
      <c r="B15" s="6" t="inlineStr">
        <is>
          <t>2025</t>
        </is>
      </c>
      <c r="C15" s="6" t="inlineStr">
        <is>
          <t>实际值</t>
        </is>
      </c>
      <c r="D15" s="7" t="inlineStr">
        <is>
          <t>calendar_year_from_10Q_sum</t>
        </is>
      </c>
      <c r="E15" s="8" t="n"/>
      <c r="F15" s="8" t="n"/>
      <c r="G15" s="8" t="n">
        <v>69.7</v>
      </c>
      <c r="H15" s="6" t="inlineStr">
        <is>
          <t>actual</t>
        </is>
      </c>
      <c r="I15" s="7" t="inlineStr">
        <is>
          <t>SEC EDGAR XBRL(本项目F15主图)</t>
        </is>
      </c>
      <c r="J15" s="7" t="inlineStr"/>
      <c r="K15" s="7" t="inlineStr">
        <is>
          <t>日历年2025 Q1-Q4季度实际值求和</t>
        </is>
      </c>
    </row>
    <row r="16" ht="42" customHeight="1">
      <c r="A16" s="9" t="inlineStr">
        <is>
          <t>META</t>
        </is>
      </c>
      <c r="B16" s="9" t="inlineStr">
        <is>
          <t>2026</t>
        </is>
      </c>
      <c r="C16" s="9" t="inlineStr">
        <is>
          <t>官方指引</t>
        </is>
      </c>
      <c r="D16" s="10" t="inlineStr">
        <is>
          <t>calendar_year</t>
        </is>
      </c>
      <c r="E16" s="11" t="n">
        <v>130</v>
      </c>
      <c r="F16" s="11" t="n">
        <v>145</v>
      </c>
      <c r="G16" s="11" t="n">
        <v>137.5</v>
      </c>
      <c r="H16" s="9" t="inlineStr">
        <is>
          <t>official</t>
        </is>
      </c>
      <c r="I16" s="10" t="inlineStr">
        <is>
          <t>KuCoin report on Meta Q2 2026 earnings</t>
        </is>
      </c>
      <c r="J16" s="10" t="inlineStr">
        <is>
          <t>https://www.kucoin.com/news/flash/meta-q2-2026-earnings-miss-estimates-capex-guidance-rises-to-145-billion</t>
        </is>
      </c>
      <c r="K16" s="10" t="inlineStr">
        <is>
          <t>区间下限从125B上调到135B(取整数130表述),上限维持145B</t>
        </is>
      </c>
    </row>
    <row r="17" ht="42" customHeight="1">
      <c r="A17" s="12" t="inlineStr">
        <is>
          <t>META</t>
        </is>
      </c>
      <c r="B17" s="12" t="inlineStr">
        <is>
          <t>2027E</t>
        </is>
      </c>
      <c r="C17" s="12" t="inlineStr">
        <is>
          <t>分析师估计</t>
        </is>
      </c>
      <c r="D17" s="13" t="inlineStr">
        <is>
          <t>calendar_year</t>
        </is>
      </c>
      <c r="E17" s="14" t="n">
        <v>225</v>
      </c>
      <c r="F17" s="14" t="n">
        <v>225</v>
      </c>
      <c r="G17" s="14" t="n">
        <v>225</v>
      </c>
      <c r="H17" s="12" t="inlineStr">
        <is>
          <t>analyst</t>
        </is>
      </c>
      <c r="I17" s="13" t="inlineStr">
        <is>
          <t>Morgan Stanley(经techtimes等财经媒体转述，8月已上修版本)</t>
        </is>
      </c>
      <c r="J17" s="13" t="inlineStr">
        <is>
          <t>https://www.techtimes.com/articles/322868/20260803/street-got-cloud-capex-wrong-morgan-stanleys-14t-math-after-hyperscaler-earnings.htm</t>
        </is>
      </c>
      <c r="K17" s="13" t="inlineStr">
        <is>
          <t>此前大摩自己的估计是185.6B(与另一篇8月一致预期报道吻合)，8月这版又上修到225B，一个月内同一家机构上修约21%，反映预测本身也很不稳定；SemiAnalysis另称META 2027 capex会'高得惊人'但无具体数字</t>
        </is>
      </c>
    </row>
    <row r="18" ht="42" customHeight="1">
      <c r="A18" s="12" t="inlineStr">
        <is>
          <t>META</t>
        </is>
      </c>
      <c r="B18" s="12" t="inlineStr">
        <is>
          <t>2028E</t>
        </is>
      </c>
      <c r="C18" s="12" t="inlineStr">
        <is>
          <t>分析师估计</t>
        </is>
      </c>
      <c r="D18" s="13" t="inlineStr">
        <is>
          <t>calendar_year</t>
        </is>
      </c>
      <c r="E18" s="14" t="n">
        <v>250</v>
      </c>
      <c r="F18" s="14" t="n">
        <v>250</v>
      </c>
      <c r="G18" s="14" t="n">
        <v>250</v>
      </c>
      <c r="H18" s="12" t="inlineStr">
        <is>
          <t>analyst</t>
        </is>
      </c>
      <c r="I18" s="13" t="inlineStr">
        <is>
          <t>Morgan Stanley(经techtimes等财经媒体转述)</t>
        </is>
      </c>
      <c r="J18" s="13" t="inlineStr">
        <is>
          <t>https://www.techtimes.com/articles/322868/20260803/street-got-cloud-capex-wrong-morgan-stanleys-14t-math-after-hyperscaler-earnings.htm</t>
        </is>
      </c>
      <c r="K18" s="13" t="inlineStr">
        <is>
          <t>目前找到的唯一一家披露META 2028具体数字的机构，单一来源，需谨慎对待</t>
        </is>
      </c>
    </row>
    <row r="19" ht="42" customHeight="1">
      <c r="A19" s="6" t="inlineStr">
        <is>
          <t>ORCL</t>
        </is>
      </c>
      <c r="B19" s="6" t="inlineStr">
        <is>
          <t>FY2026</t>
        </is>
      </c>
      <c r="C19" s="6" t="inlineStr">
        <is>
          <t>实际值</t>
        </is>
      </c>
      <c r="D19" s="7" t="inlineStr">
        <is>
          <t>fiscal_year_jun2025_may2026</t>
        </is>
      </c>
      <c r="E19" s="8" t="n"/>
      <c r="F19" s="8" t="n"/>
      <c r="G19" s="8" t="n">
        <v>55.7</v>
      </c>
      <c r="H19" s="6" t="inlineStr">
        <is>
          <t>actual</t>
        </is>
      </c>
      <c r="I19" s="7" t="inlineStr">
        <is>
          <t>Oracle official FY2026 Q4 earnings release</t>
        </is>
      </c>
      <c r="J19" s="7" t="inlineStr">
        <is>
          <t>https://investor.oracle.com/investor-news/news-details/2026/Oracle-Announces-Record-Q4-and-FY-2026-Results-Driven-by-Cloud-Infrastructure--Cloud-Applications/default.aspx</t>
        </is>
      </c>
      <c r="K19" s="7" t="inlineStr">
        <is>
          <t>官方财年口径(2025年6月-2026年5月)实际支出,与本项目F15主图用日历季重新拼接得到的'2025'桶(35.5B)不是同一区间,不可直接比较,此处改用官方财年口径以便与FY2027指引可比</t>
        </is>
      </c>
    </row>
    <row r="20" ht="42" customHeight="1">
      <c r="A20" s="9" t="inlineStr">
        <is>
          <t>ORCL</t>
        </is>
      </c>
      <c r="B20" s="9" t="inlineStr">
        <is>
          <t>FY2027</t>
        </is>
      </c>
      <c r="C20" s="9" t="inlineStr">
        <is>
          <t>官方指引</t>
        </is>
      </c>
      <c r="D20" s="10" t="inlineStr">
        <is>
          <t>fiscal_year_jun2026_may2027</t>
        </is>
      </c>
      <c r="E20" s="11" t="n">
        <v>90</v>
      </c>
      <c r="F20" s="11" t="n">
        <v>95</v>
      </c>
      <c r="G20" s="11" t="n">
        <v>92.5</v>
      </c>
      <c r="H20" s="9" t="inlineStr">
        <is>
          <t>official</t>
        </is>
      </c>
      <c r="I20" s="10" t="inlineStr">
        <is>
          <t>Intellectia/mlq.ai report on Oracle FY2026 Q4 earnings call</t>
        </is>
      </c>
      <c r="J20" s="10" t="inlineStr">
        <is>
          <t>https://intellectia.ai/news/stock/oracle-plans-70-billion-capital-expenditure-for-fiscal-2027</t>
        </is>
      </c>
      <c r="K20" s="10" t="inlineStr">
        <is>
          <t>这是总支出(gross)口径;官方另给净支出(net,扣除客户预付/客户自供硬件报销约20-25B)约70B,两个口径都是官方数字但含义不同,图上标注为gross,footnote注明net口径</t>
        </is>
      </c>
    </row>
    <row r="21" ht="42" customHeight="1">
      <c r="A21" s="15" t="inlineStr">
        <is>
          <t>ORCL</t>
        </is>
      </c>
      <c r="B21" s="15" t="inlineStr">
        <is>
          <t>FY2028</t>
        </is>
      </c>
      <c r="C21" s="15" t="inlineStr">
        <is>
          <t>无可靠数字</t>
        </is>
      </c>
      <c r="D21" s="16" t="inlineStr"/>
      <c r="E21" s="17" t="n"/>
      <c r="F21" s="17" t="n"/>
      <c r="G21" s="17" t="n"/>
      <c r="H21" s="15" t="inlineStr">
        <is>
          <t>none</t>
        </is>
      </c>
      <c r="I21" s="16" t="inlineStr"/>
      <c r="J21" s="16" t="inlineStr"/>
      <c r="K21" s="16" t="inlineStr">
        <is>
          <t>官方仅表态capex上升趋势会持续到FY2027之后的'几个财年',未给FY2028具体数字或范围；大摩等机构对'五大云厂商'的口径经常在ORCL和SpaceX之间切换取舍，没能找到单独针对ORCL的2027/2028分析师数字，未强行拼凑</t>
        </is>
      </c>
    </row>
    <row r="24">
      <c r="A24" s="5" t="inlineStr">
        <is>
          <t>数据源：实际值=SEC EDGAR XBRL(与季度实际值工作表同一批数据，日历年求和；ORCL用官方财年口径55.7B以便与FY指引可比)</t>
        </is>
      </c>
    </row>
    <row r="25">
      <c r="A25" s="5" t="inlineStr">
        <is>
          <t>官方指引=各公司2026年最新一次财报电话会/新闻稿(CNBC/CFO Dive/Intellectia等财经媒体转引)</t>
        </is>
      </c>
    </row>
    <row r="26">
      <c r="A26" s="5" t="inlineStr">
        <is>
          <t>2027/2028分析师估计=Morgan Stanley(大摩)对五大云厂商用同一套方法论的建模估计(经techtimes等财经媒体转引，无法直接访问原始研报核实，单一机构来源，不代表市场普遍共识)</t>
        </is>
      </c>
    </row>
    <row r="27">
      <c r="A27" s="5" t="inlineStr">
        <is>
          <t>MSFT/ORCL用财年(MSFT:7-6月，ORCL:6-5月)，其余三家用自然年，不可跨公司直接比较"期间"列</t>
        </is>
      </c>
    </row>
    <row r="28">
      <c r="A28" s="5" t="inlineStr">
        <is>
          <t>MSFT 2026指引从190B下修到175B是租赁会计分类调整，非真实缩减；ORCL FY2027的92.5B是gross口径，官方另给net(扣除客户预付/自供硬件报销约20-25B)约70B</t>
        </is>
      </c>
    </row>
    <row r="29">
      <c r="A29" s="5" t="inlineStr">
        <is>
          <t>大摩自己的估计在2026年内也被多次上修：META 2027从185.6B上修到225B(+21%)、AMZN 2027上修15%至308B、2028上修29%至318B</t>
        </is>
      </c>
    </row>
    <row r="33">
      <c r="A33" s="18" t="inlineStr">
        <is>
          <t>图表用透视表（各公司口径不同，此处统一成4个通用槽位，具体期间见上表）</t>
        </is>
      </c>
    </row>
    <row r="34" ht="30" customHeight="1">
      <c r="A34" s="1" t="inlineStr">
        <is>
          <t>公司</t>
        </is>
      </c>
      <c r="B34" s="1" t="inlineStr">
        <is>
          <t>最近实际</t>
        </is>
      </c>
      <c r="C34" s="1" t="inlineStr">
        <is>
          <t>官方指引(下一年)</t>
        </is>
      </c>
      <c r="D34" s="1" t="inlineStr">
        <is>
          <t>预测+2年(官方或分析师)</t>
        </is>
      </c>
      <c r="E34" s="1" t="inlineStr">
        <is>
          <t>预测+3年(分析师)</t>
        </is>
      </c>
    </row>
    <row r="35">
      <c r="A35" s="19" t="inlineStr">
        <is>
          <t>MSFT</t>
        </is>
      </c>
      <c r="B35" s="20" t="n">
        <v>83.09999999999999</v>
      </c>
      <c r="C35" s="20" t="n">
        <v>175</v>
      </c>
      <c r="D35" s="20" t="n">
        <v>207.6</v>
      </c>
      <c r="E35" s="20" t="n"/>
    </row>
    <row r="36">
      <c r="A36" s="19" t="inlineStr">
        <is>
          <t>AMZN</t>
        </is>
      </c>
      <c r="B36" s="20" t="n">
        <v>131.8</v>
      </c>
      <c r="C36" s="20" t="n">
        <v>220</v>
      </c>
      <c r="D36" s="20" t="n">
        <v>308</v>
      </c>
      <c r="E36" s="20" t="n">
        <v>318</v>
      </c>
    </row>
    <row r="37">
      <c r="A37" s="19" t="inlineStr">
        <is>
          <t>GOOGL</t>
        </is>
      </c>
      <c r="B37" s="20" t="n">
        <v>91.40000000000001</v>
      </c>
      <c r="C37" s="20" t="n">
        <v>200</v>
      </c>
      <c r="D37" s="20" t="n">
        <v>284.8</v>
      </c>
      <c r="E37" s="20" t="n"/>
    </row>
    <row r="38">
      <c r="A38" s="19" t="inlineStr">
        <is>
          <t>META</t>
        </is>
      </c>
      <c r="B38" s="20" t="n">
        <v>69.7</v>
      </c>
      <c r="C38" s="20" t="n">
        <v>137.5</v>
      </c>
      <c r="D38" s="20" t="n">
        <v>225</v>
      </c>
      <c r="E38" s="20" t="n">
        <v>250</v>
      </c>
    </row>
    <row r="39">
      <c r="A39" s="19" t="inlineStr">
        <is>
          <t>ORCL</t>
        </is>
      </c>
      <c r="B39" s="20" t="n">
        <v>55.7</v>
      </c>
      <c r="C39" s="20" t="n">
        <v>92.5</v>
      </c>
      <c r="D39" s="20" t="n"/>
      <c r="E39" s="20" t="n"/>
    </row>
  </sheetData>
  <mergeCells count="6">
    <mergeCell ref="A26:K26"/>
    <mergeCell ref="A29:K29"/>
    <mergeCell ref="A25:K25"/>
    <mergeCell ref="A24:K24"/>
    <mergeCell ref="A28:K28"/>
    <mergeCell ref="A27:K2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47:A47"/>
  <sheetViews>
    <sheetView showGridLines="0" workbookViewId="0">
      <selection activeCell="A1" sqref="A1"/>
    </sheetView>
  </sheetViews>
  <sheetFormatPr baseColWidth="8" defaultRowHeight="15"/>
  <sheetData>
    <row r="47">
      <c r="A47" s="5" t="inlineStr">
        <is>
          <t>见"季度实际值""年度前瞻"工作表获取原始数据与数据源说明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2026-08-17T13:05:33Z</dcterms:created>
  <dcterms:modified xsi:type="dcterms:W3CDTF">2026-08-17T13:05:33Z</dcterms:modified>
</cp:coreProperties>
</file>